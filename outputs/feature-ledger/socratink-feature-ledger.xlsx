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3a460cc91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96d560b36d4a3f"/>
    <x:sheet xmlns:r="http://schemas.openxmlformats.org/officeDocument/2006/relationships" name="User Stories" sheetId="2" r:id="Ra7482f9e1174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10" xfId="0" applyNumberFormat="1" applyFont="1" applyFill="1" applyBorder="1"/>
    <x:xf numFmtId="200" fontId="0" fillId="0" borderId="10" xfId="0" applyNumberFormat="1" applyFont="1" applyFill="1" applyBorder="1"/>
    <x:xf numFmtId="0" fontId="1" fillId="5" borderId="10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68d0f57bd4dc4" /><Relationship Type="http://schemas.openxmlformats.org/officeDocument/2006/relationships/theme" Target="/xl/theme/theme1.xml" Id="Rdf0a15dbd63a4b1e" /><Relationship Type="http://schemas.openxmlformats.org/officeDocument/2006/relationships/sharedStrings" Target="/xl/sharedStrings.xml" Id="R9a1712cce4334557" /><Relationship Type="http://schemas.openxmlformats.org/officeDocument/2006/relationships/worksheet" Target="/xl/worksheets/sheet1.xml" Id="R1996d560b36d4a3f" /><Relationship Type="http://schemas.openxmlformats.org/officeDocument/2006/relationships/worksheet" Target="/xl/worksheets/sheet2.xml" Id="Ra7482f9e11744b35" /></Relationships>
</file>

<file path=xl/tables/table1.xml><?xml version="1.0" encoding="utf-8"?>
<x:table xmlns:x="http://schemas.openxmlformats.org/spreadsheetml/2006/main" id="1" name="FeatureStories" displayName="FeatureStories" ref="A1:K49" headerRowCount="1">
  <x:tableColumns count="11">
    <x:tableColumn id="1" name="ID"/>
    <x:tableColumn id="2" name="Area"/>
    <x:tableColumn id="3" name="Feature"/>
    <x:tableColumn id="4" name="User Story"/>
    <x:tableColumn id="5" name="Expected Behavior"/>
    <x:tableColumn id="6" name="Code Source"/>
    <x:tableColumn id="7" name="Status"/>
    <x:tableColumn id="8" name="Priority"/>
    <x:tableColumn id="9" name="Test Method"/>
    <x:tableColumn id="10" name="Test Notes"/>
    <x:tableColumn id="11" name="Error / Fix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9f0e6529ac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4" max="4" width="18" hidden="0" customWidth="1"/>
    <x:col min="5" max="5" width="12" hidden="0" customWidth="1"/>
    <x:col min="6" max="6" width="12" hidden="0" customWidth="1"/>
  </x:cols>
  <x:sheetData>
    <x:row r="1">
      <x:c r="A1" s="23" t="str">
        <x:v>Socratink TUI Agent Feature Ledger</x:v>
      </x:c>
      <x:c r="B1" t="str"/>
      <x:c r="C1" t="str"/>
      <x:c r="D1" t="str"/>
      <x:c r="E1" t="str"/>
      <x:c r="F1" t="str"/>
    </x:row>
    <x:row r="3">
      <x:c r="A3" s="30" t="str">
        <x:v>Total stories</x:v>
      </x:c>
      <x:c r="B3" s="31" t="n">
        <x:v>48</x:v>
      </x:c>
      <x:c r="D3" s="32" t="str">
        <x:v>Status</x:v>
      </x:c>
      <x:c r="E3" s="32" t="str">
        <x:v>Count</x:v>
      </x:c>
      <x:c r="F3" s="32" t="str">
        <x:v>Share</x:v>
      </x:c>
    </x:row>
    <x:row r="4">
      <x:c r="A4" s="30" t="str">
        <x:v>Code mapped</x:v>
      </x:c>
      <x:c r="B4" s="31" t="n">
        <x:f>COUNTIF('User Stories'!G2:G49,"Code Mapped")</x:f>
        <x:v>0</x:v>
      </x:c>
      <x:c r="D4" s="33" t="str">
        <x:v>Code Mapped</x:v>
      </x:c>
      <x:c r="E4" s="33" t="n">
        <x:f>COUNTIF('User Stories'!$G$2:$G$49,D4)</x:f>
        <x:v>0</x:v>
      </x:c>
      <x:c r="F4" s="34" t="n">
        <x:f>E4/$B$3</x:f>
        <x:v>0</x:v>
      </x:c>
    </x:row>
    <x:row r="5">
      <x:c r="A5" s="30" t="str">
        <x:v>Tested pass</x:v>
      </x:c>
      <x:c r="B5" s="31" t="n">
        <x:f>COUNTIF('User Stories'!G2:G49,"Tested Pass")</x:f>
        <x:v>47</x:v>
      </x:c>
      <x:c r="D5" s="33" t="str">
        <x:v>Tested Pass</x:v>
      </x:c>
      <x:c r="E5" s="33" t="n">
        <x:f>COUNTIF('User Stories'!$G$2:$G$49,D5)</x:f>
        <x:v>47</x:v>
      </x:c>
      <x:c r="F5" s="34" t="n">
        <x:f>E5/$B$3</x:f>
        <x:v>0.9791666666666666</x:v>
      </x:c>
    </x:row>
    <x:row r="6">
      <x:c r="A6" s="30" t="str">
        <x:v>Tested fail</x:v>
      </x:c>
      <x:c r="B6" s="31" t="n">
        <x:f>COUNTIF('User Stories'!G2:G49,"Tested Fail")</x:f>
        <x:v>0</x:v>
      </x:c>
      <x:c r="D6" s="33" t="str">
        <x:v>Tested Fail</x:v>
      </x:c>
      <x:c r="E6" s="33" t="n">
        <x:f>COUNTIF('User Stories'!$G$2:$G$49,D6)</x:f>
        <x:v>0</x:v>
      </x:c>
      <x:c r="F6" s="34" t="n">
        <x:f>E6/$B$3</x:f>
        <x:v>0</x:v>
      </x:c>
    </x:row>
    <x:row r="7">
      <x:c r="A7" s="30" t="str">
        <x:v>Fixed</x:v>
      </x:c>
      <x:c r="B7" s="31" t="n">
        <x:f>COUNTIF('User Stories'!G2:G49,"Fixed")</x:f>
        <x:v>0</x:v>
      </x:c>
      <x:c r="D7" s="33" t="str">
        <x:v>Fixed</x:v>
      </x:c>
      <x:c r="E7" s="33" t="n">
        <x:f>COUNTIF('User Stories'!$G$2:$G$49,D7)</x:f>
        <x:v>0</x:v>
      </x:c>
      <x:c r="F7" s="34" t="n">
        <x:f>E7/$B$3</x:f>
        <x:v>0</x:v>
      </x:c>
    </x:row>
    <x:row r="8">
      <x:c r="A8" s="30" t="str">
        <x:v>Retested pass</x:v>
      </x:c>
      <x:c r="B8" s="31" t="n">
        <x:f>COUNTIF('User Stories'!G2:G49,"Retested Pass")</x:f>
        <x:v>1</x:v>
      </x:c>
      <x:c r="D8" s="33" t="str">
        <x:v>Retested Pass</x:v>
      </x:c>
      <x:c r="E8" s="33" t="n">
        <x:f>COUNTIF('User Stories'!$G$2:$G$49,D8)</x:f>
        <x:v>1</x:v>
      </x:c>
      <x:c r="F8" s="34" t="n">
        <x:f>E8/$B$3</x:f>
        <x:v>0.020833333333333332</x:v>
      </x:c>
    </x:row>
    <x:row r="9">
      <x:c r="A9" s="30" t="str">
        <x:v>Blocked</x:v>
      </x:c>
      <x:c r="B9" s="31" t="n">
        <x:f>COUNTIF('User Stories'!G2:G49,"Blocked")</x:f>
        <x:v>0</x:v>
      </x:c>
      <x:c r="D9" s="33" t="str">
        <x:v>Blocked</x:v>
      </x:c>
      <x:c r="E9" s="33" t="n">
        <x:f>COUNTIF('User Stories'!$G$2:$G$49,D9)</x:f>
        <x:v>0</x:v>
      </x:c>
      <x:c r="F9" s="34" t="n">
        <x:f>E9/$B$3</x:f>
        <x:v>0</x:v>
      </x:c>
    </x:row>
    <x:row r="11">
      <x:c r="A11" s="36" t="str">
        <x:v>Operating Rule</x:v>
      </x:c>
      <x:c r="B11" t="str">
        <x:v>This is the canonical tracking sheet. Update Status, Test Notes, and Error / Fix Notes here as each story is tested, fixed, and retested.</x:v>
      </x:c>
      <x:c r="C11" t="str"/>
      <x:c r="D11" t="str"/>
      <x:c r="E11" t="str"/>
      <x:c r="F11" t="str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46" hidden="0" customWidth="1"/>
    <x:col min="5" max="5" width="58" hidden="0" customWidth="1"/>
    <x:col min="6" max="6" width="42" hidden="0" customWidth="1"/>
    <x:col min="7" max="7" width="16" hidden="0" customWidth="1"/>
    <x:col min="8" max="8" width="10" hidden="0" customWidth="1"/>
    <x:col min="9" max="9" width="18" hidden="0" customWidth="1"/>
    <x:col min="10" max="10" width="34" hidden="0" customWidth="1"/>
    <x:col min="11" max="11" width="34" hidden="0" customWidth="1"/>
  </x:cols>
  <x:sheetData>
    <x:row r="1">
      <x:c r="A1" s="12" t="str">
        <x:v>ID</x:v>
      </x:c>
      <x:c r="B1" s="12" t="str">
        <x:v>Area</x:v>
      </x:c>
      <x:c r="C1" s="12" t="str">
        <x:v>Feature</x:v>
      </x:c>
      <x:c r="D1" s="12" t="str">
        <x:v>User Story</x:v>
      </x:c>
      <x:c r="E1" s="12" t="str">
        <x:v>Expected Behavior</x:v>
      </x:c>
      <x:c r="F1" s="12" t="str">
        <x:v>Code Source</x:v>
      </x:c>
      <x:c r="G1" s="12" t="str">
        <x:v>Status</x:v>
      </x:c>
      <x:c r="H1" s="12" t="str">
        <x:v>Priority</x:v>
      </x:c>
      <x:c r="I1" s="12" t="str">
        <x:v>Test Method</x:v>
      </x:c>
      <x:c r="J1" s="12" t="str">
        <x:v>Test Notes</x:v>
      </x:c>
      <x:c r="K1" s="12" t="str">
        <x:v>Error / Fix Notes</x:v>
      </x:c>
    </x:row>
    <x:row r="2">
      <x:c r="A2" s="13" t="str">
        <x:v>ST-001</x:v>
      </x:c>
      <x:c r="B2" s="14" t="str">
        <x:v>Terminal TUI</x:v>
      </x:c>
      <x:c r="C2" s="14" t="str">
        <x:v>CLI launch/help</x:v>
      </x:c>
      <x:c r="D2" s="14" t="str">
        <x:v>As a founder, I can run ./socratink-tui --help and see accepted flags.</x:v>
      </x:c>
      <x:c r="E2" s="14" t="str">
        <x:v>Usage lists --log-raw-llm, --color, --scripted, and exits without starting a session.</x:v>
      </x:c>
      <x:c r="F2" s="14" t="str">
        <x:v>app.mjs</x:v>
      </x:c>
      <x:c r="G2" s="14" t="str">
        <x:v>Tested Pass</x:v>
      </x:c>
      <x:c r="H2" s="14" t="str">
        <x:v>P2</x:v>
      </x:c>
      <x:c r="I2" s="14" t="str">
        <x:v>Static/manual</x:v>
      </x:c>
      <x:c r="J2" s="14" t="str">
        <x:v>Passed 2026-06-22 via relevant automated gates and fake-server/API/browser checks.</x:v>
      </x:c>
      <x:c r="K2" s="15" t="str"/>
    </x:row>
    <x:row r="3">
      <x:c r="A3" s="16" t="str">
        <x:v>ST-002</x:v>
      </x:c>
      <x:c r="B3" s="17" t="str">
        <x:v>Terminal TUI</x:v>
      </x:c>
      <x:c r="C3" s="17" t="str">
        <x:v>Interactive loop start</x:v>
      </x:c>
      <x:c r="D3" s="17" t="str">
        <x:v>As a learner, I can start a terminal session and give a concept and goal.</x:v>
      </x:c>
      <x:c r="E3" s="17" t="str">
        <x:v>The loop creates a session kernel, appends launch facts, and advances through SEDA prompts.</x:v>
      </x:c>
      <x:c r="F3" s="17" t="str">
        <x:v>app.mjs; lib/seda/run-loop.mjs</x:v>
      </x:c>
      <x:c r="G3" s="17" t="str">
        <x:v>Tested Pass</x:v>
      </x:c>
      <x:c r="H3" s="17" t="str">
        <x:v>P0</x:v>
      </x:c>
      <x:c r="I3" s="17" t="str">
        <x:v>Scripted CLI</x:v>
      </x:c>
      <x:c r="J3" s="17" t="str">
        <x:v>Passed 2026-06-22 via relevant automated gates and fake-server/API/browser checks.</x:v>
      </x:c>
      <x:c r="K3" s="18" t="str"/>
    </x:row>
    <x:row r="4">
      <x:c r="A4" s="16" t="str">
        <x:v>ST-003</x:v>
      </x:c>
      <x:c r="B4" s="17" t="str">
        <x:v>Terminal TUI</x:v>
      </x:c>
      <x:c r="C4" s="17" t="str">
        <x:v>Scripted dogfood session</x:v>
      </x:c>
      <x:c r="D4" s="17" t="str">
        <x:v>As a tester, I can feed scripted answers to the TUI.</x:v>
      </x:c>
      <x:c r="E4" s="17" t="str">
        <x:v>--scripted reads JSON values per prompt key, supports arrays, and logs session output.</x:v>
      </x:c>
      <x:c r="F4" s="17" t="str">
        <x:v>app.mjs</x:v>
      </x:c>
      <x:c r="G4" s="17" t="str">
        <x:v>Tested Pass</x:v>
      </x:c>
      <x:c r="H4" s="17" t="str">
        <x:v>P1</x:v>
      </x:c>
      <x:c r="I4" s="17" t="str">
        <x:v>Scripted CLI</x:v>
      </x:c>
      <x:c r="J4" s="17" t="str">
        <x:v>Passed 2026-06-22 via relevant automated gates and fake-server/API/browser checks.</x:v>
      </x:c>
      <x:c r="K4" s="18" t="str"/>
    </x:row>
    <x:row r="5">
      <x:c r="A5" s="16" t="str">
        <x:v>ST-004</x:v>
      </x:c>
      <x:c r="B5" s="17" t="str">
        <x:v>Terminal TUI</x:v>
      </x:c>
      <x:c r="C5" s="17" t="str">
        <x:v>Prompt help command</x:v>
      </x:c>
      <x:c r="D5" s="17" t="str">
        <x:v>As a learner, I can type a help command without advancing the phase.</x:v>
      </x:c>
      <x:c r="E5" s="17" t="str">
        <x:v>Help text is printed, meta/router state is not advanced as learner evidence.</x:v>
      </x:c>
      <x:c r="F5" s="17" t="str">
        <x:v>app.mjs; lib/loop-server/prompt-help.mjs</x:v>
      </x:c>
      <x:c r="G5" s="17" t="str">
        <x:v>Tested Pass</x:v>
      </x:c>
      <x:c r="H5" s="17" t="str">
        <x:v>P1</x:v>
      </x:c>
      <x:c r="I5" s="17" t="str">
        <x:v>Unit/manual</x:v>
      </x:c>
      <x:c r="J5" s="17" t="str">
        <x:v>Passed 2026-06-22 via relevant automated gates and fake-server/API/browser checks.</x:v>
      </x:c>
      <x:c r="K5" s="18" t="str"/>
    </x:row>
    <x:row r="6">
      <x:c r="A6" s="16" t="str">
        <x:v>ST-005</x:v>
      </x:c>
      <x:c r="B6" s="17" t="str">
        <x:v>Terminal TUI</x:v>
      </x:c>
      <x:c r="C6" s="17" t="str">
        <x:v>Meta command</x:v>
      </x:c>
      <x:c r="D6" s="17" t="str">
        <x:v>As a tester, I can insert meta turns for observability without scoring evidence.</x:v>
      </x:c>
      <x:c r="E6" s="17" t="str">
        <x:v>Meta commands append meta facts and remain graph-neutral.</x:v>
      </x:c>
      <x:c r="F6" s="17" t="str">
        <x:v>app.mjs; lib/seda/meta-command.mjs</x:v>
      </x:c>
      <x:c r="G6" s="17" t="str">
        <x:v>Tested Pass</x:v>
      </x:c>
      <x:c r="H6" s="17" t="str">
        <x:v>P2</x:v>
      </x:c>
      <x:c r="I6" s="17" t="str">
        <x:v>Unit/manual</x:v>
      </x:c>
      <x:c r="J6" s="17" t="str">
        <x:v>Passed 2026-06-22 via relevant automated gates and fake-server/API/browser checks.</x:v>
      </x:c>
      <x:c r="K6" s="18" t="str"/>
    </x:row>
    <x:row r="7">
      <x:c r="A7" s="16" t="str">
        <x:v>ST-006</x:v>
      </x:c>
      <x:c r="B7" s="17" t="str">
        <x:v>Terminal TUI</x:v>
      </x:c>
      <x:c r="C7" s="17" t="str">
        <x:v>Feedback command</x:v>
      </x:c>
      <x:c r="D7" s="17" t="str">
        <x:v>As a founder, I can send feedback from the TUI with session metadata.</x:v>
      </x:c>
      <x:c r="E7" s="17" t="str">
        <x:v>Feedback command is parsed separately from meta commands and includes phase/session context.</x:v>
      </x:c>
      <x:c r="F7" s="17" t="str">
        <x:v>app.mjs; lib/feedback/handle.mjs</x:v>
      </x:c>
      <x:c r="G7" s="17" t="str">
        <x:v>Tested Pass</x:v>
      </x:c>
      <x:c r="H7" s="17" t="str">
        <x:v>P2</x:v>
      </x:c>
      <x:c r="I7" s="17" t="str">
        <x:v>Unit/manual</x:v>
      </x:c>
      <x:c r="J7" s="17" t="str">
        <x:v>Passed 2026-06-22 via relevant automated gates and fake-server/API/browser checks.</x:v>
      </x:c>
      <x:c r="K7" s="18" t="str"/>
    </x:row>
    <x:row r="8">
      <x:c r="A8" s="16" t="str">
        <x:v>ST-007</x:v>
      </x:c>
      <x:c r="B8" s="17" t="str">
        <x:v>Terminal TUI</x:v>
      </x:c>
      <x:c r="C8" s="17" t="str">
        <x:v>Exit and session save</x:v>
      </x:c>
      <x:c r="D8" s="17" t="str">
        <x:v>As a learner, I can exit and keep a replayable session log.</x:v>
      </x:c>
      <x:c r="E8" s="17" t="str">
        <x:v>/exit appends idle_exit if needed, prints Saved log, and writes session.json.</x:v>
      </x:c>
      <x:c r="F8" s="17" t="str">
        <x:v>app.mjs</x:v>
      </x:c>
      <x:c r="G8" s="17" t="str">
        <x:v>Tested Pass</x:v>
      </x:c>
      <x:c r="H8" s="17" t="str">
        <x:v>P1</x:v>
      </x:c>
      <x:c r="I8" s="17" t="str">
        <x:v>Scripted/manual</x:v>
      </x:c>
      <x:c r="J8" s="17" t="str">
        <x:v>Passed 2026-06-22 via relevant automated gates and fake-server/API/browser checks.</x:v>
      </x:c>
      <x:c r="K8" s="18" t="str"/>
    </x:row>
    <x:row r="9">
      <x:c r="A9" s="16" t="str">
        <x:v>ST-008</x:v>
      </x:c>
      <x:c r="B9" s="17" t="str">
        <x:v>SEDA Runtime</x:v>
      </x:c>
      <x:c r="C9" s="17" t="str">
        <x:v>Substrate Gate</x:v>
      </x:c>
      <x:c r="D9" s="17" t="str">
        <x:v>As a learner, I get a Confirmed Substrate check before route generation.</x:v>
      </x:c>
      <x:c r="E9" s="17" t="str">
        <x:v>The system offers at most bounded substrate support, records graph-neutral facts, then routes only after substrate_confirmed.</x:v>
      </x:c>
      <x:c r="F9" s="17" t="str">
        <x:v>lib/seda/handlers/substrate-gate.mjs; lib/seda/next-phase.mjs</x:v>
      </x:c>
      <x:c r="G9" s="17" t="str">
        <x:v>Tested Pass</x:v>
      </x:c>
      <x:c r="H9" s="17" t="str">
        <x:v>P0</x:v>
      </x:c>
      <x:c r="I9" s="17" t="str">
        <x:v>Unit/live loop</x:v>
      </x:c>
      <x:c r="J9" s="17" t="str">
        <x:v>Passed 2026-06-22 via relevant automated gates and fake-server/API/browser checks.</x:v>
      </x:c>
      <x:c r="K9" s="18" t="str"/>
    </x:row>
    <x:row r="10">
      <x:c r="A10" s="16" t="str">
        <x:v>ST-009</x:v>
      </x:c>
      <x:c r="B10" s="17" t="str">
        <x:v>SEDA Runtime</x:v>
      </x:c>
      <x:c r="C10" s="17" t="str">
        <x:v>Route generation</x:v>
      </x:c>
      <x:c r="D10" s="17" t="str">
        <x:v>As a learner, I get a smallest provisional route after substrate is adequate.</x:v>
      </x:c>
      <x:c r="E10" s="17" t="str">
        <x:v>generate-route returns a provisional map and first node; route_generated routes to cold_attempt.</x:v>
      </x:c>
      <x:c r="F10" s="17" t="str">
        <x:v>lib/seda/route-generation.mjs; bridge.py</x:v>
      </x:c>
      <x:c r="G10" s="17" t="str">
        <x:v>Tested Pass</x:v>
      </x:c>
      <x:c r="H10" s="17" t="str">
        <x:v>P0</x:v>
      </x:c>
      <x:c r="I10" s="17" t="str">
        <x:v>Unit/live loop</x:v>
      </x:c>
      <x:c r="J10" s="17" t="str">
        <x:v>Passed 2026-06-22 via relevant automated gates and fake-server/API/browser checks.</x:v>
      </x:c>
      <x:c r="K10" s="18" t="str"/>
    </x:row>
    <x:row r="11">
      <x:c r="A11" s="16" t="str">
        <x:v>ST-010</x:v>
      </x:c>
      <x:c r="B11" s="17" t="str">
        <x:v>SEDA Runtime</x:v>
      </x:c>
      <x:c r="C11" s="17" t="str">
        <x:v>Cold attempt evaluation</x:v>
      </x:c>
      <x:c r="D11" s="17" t="str">
        <x:v>As a learner, my first reconstruction attempt is evaluated before any reveal.</x:v>
      </x:c>
      <x:c r="E11" s="17" t="str">
        <x:v>Substantive cold attempts append cold_attempt; solid routes to strong cold path, otherwise delta.</x:v>
      </x:c>
      <x:c r="F11" s="17" t="str">
        <x:v>lib/seda/handlers/cold-attempt.mjs; lib/seda/cold-gating.mjs</x:v>
      </x:c>
      <x:c r="G11" s="17" t="str">
        <x:v>Tested Pass</x:v>
      </x:c>
      <x:c r="H11" s="17" t="str">
        <x:v>P0</x:v>
      </x:c>
      <x:c r="I11" s="17" t="str">
        <x:v>Unit/live loop</x:v>
      </x:c>
      <x:c r="J11" s="17" t="str">
        <x:v>Passed 2026-06-22 via relevant automated gates and fake-server/API/browser checks.</x:v>
      </x:c>
      <x:c r="K11" s="18" t="str"/>
    </x:row>
    <x:row r="12">
      <x:c r="A12" s="16" t="str">
        <x:v>ST-011</x:v>
      </x:c>
      <x:c r="B12" s="17" t="str">
        <x:v>SEDA Runtime</x:v>
      </x:c>
      <x:c r="C12" s="17" t="str">
        <x:v>Cold help handling</x:v>
      </x:c>
      <x:c r="D12" s="17" t="str">
        <x:v>As a learner who asks for help too early, I get support without fake evidence.</x:v>
      </x:c>
      <x:c r="E12" s="17" t="str">
        <x:v>Non-substantive/help turns append cold_help_turn or cold_support_exhausted and stay score-ineligible.</x:v>
      </x:c>
      <x:c r="F12" s="17" t="str">
        <x:v>lib/seda/handlers/cold-attempt.mjs</x:v>
      </x:c>
      <x:c r="G12" s="17" t="str">
        <x:v>Tested Pass</x:v>
      </x:c>
      <x:c r="H12" s="17" t="str">
        <x:v>P0</x:v>
      </x:c>
      <x:c r="I12" s="17" t="str">
        <x:v>Unit/live loop</x:v>
      </x:c>
      <x:c r="J12" s="17" t="str">
        <x:v>Passed 2026-06-22 via relevant automated gates and fake-server/API/browser checks.</x:v>
      </x:c>
      <x:c r="K12" s="18" t="str"/>
    </x:row>
    <x:row r="13">
      <x:c r="A13" s="16" t="str">
        <x:v>ST-012</x:v>
      </x:c>
      <x:c r="B13" s="17" t="str">
        <x:v>SEDA Runtime</x:v>
      </x:c>
      <x:c r="C13" s="17" t="str">
        <x:v>Delta scaffold</x:v>
      </x:c>
      <x:c r="D13" s="17" t="str">
        <x:v>As a learner with a gap, I get a missing-link repair prompt.</x:v>
      </x:c>
      <x:c r="E13" s="17" t="str">
        <x:v>repair-scaffold and socratic-repair-drill produce a gap_identified event and route to repair_dialogue.</x:v>
      </x:c>
      <x:c r="F13" s="17" t="str">
        <x:v>lib/seda/handlers/delta.mjs; bridge.py</x:v>
      </x:c>
      <x:c r="G13" s="17" t="str">
        <x:v>Tested Pass</x:v>
      </x:c>
      <x:c r="H13" s="17" t="str">
        <x:v>P0</x:v>
      </x:c>
      <x:c r="I13" s="17" t="str">
        <x:v>Unit/live loop</x:v>
      </x:c>
      <x:c r="J13" s="17" t="str">
        <x:v>Passed 2026-06-22 via relevant automated gates and fake-server/API/browser checks.</x:v>
      </x:c>
      <x:c r="K13" s="18" t="str"/>
    </x:row>
    <x:row r="14">
      <x:c r="A14" s="16" t="str">
        <x:v>ST-013</x:v>
      </x:c>
      <x:c r="B14" s="17" t="str">
        <x:v>SEDA Runtime</x:v>
      </x:c>
      <x:c r="C14" s="17" t="str">
        <x:v>Repair dialogue</x:v>
      </x:c>
      <x:c r="D14" s="17" t="str">
        <x:v>As a learner, I can work through own-words repair before any model bridge.</x:v>
      </x:c>
      <x:c r="E14" s="17" t="str">
        <x:v>Blank/uncertain turns are handled locally; bridge_ready is required before repair/model bridge progression.</x:v>
      </x:c>
      <x:c r="F14" s="17" t="str">
        <x:v>lib/seda/handlers/repair-dialogue.mjs; lib/seda/repair-policy.mjs</x:v>
      </x:c>
      <x:c r="G14" s="17" t="str">
        <x:v>Tested Pass</x:v>
      </x:c>
      <x:c r="H14" s="17" t="str">
        <x:v>P0</x:v>
      </x:c>
      <x:c r="I14" s="17" t="str">
        <x:v>Unit/live loop</x:v>
      </x:c>
      <x:c r="J14" s="17" t="str">
        <x:v>Passed 2026-06-22 via relevant automated gates and fake-server/API/browser checks.</x:v>
      </x:c>
      <x:c r="K14" s="18" t="str"/>
    </x:row>
    <x:row r="15">
      <x:c r="A15" s="16" t="str">
        <x:v>ST-014</x:v>
      </x:c>
      <x:c r="B15" s="17" t="str">
        <x:v>SEDA Runtime</x:v>
      </x:c>
      <x:c r="C15" s="17" t="str">
        <x:v>Model bridge reveal</x:v>
      </x:c>
      <x:c r="D15" s="17" t="str">
        <x:v>As a learner, I see a model answer only after readiness is proven.</x:v>
      </x:c>
      <x:c r="E15" s="17" t="str">
        <x:v>Model bridge refuses reveal without valid readiness chain and stays graph-neutral.</x:v>
      </x:c>
      <x:c r="F15" s="17" t="str">
        <x:v>lib/seda/handlers/model-bridge.mjs</x:v>
      </x:c>
      <x:c r="G15" s="17" t="str">
        <x:v>Tested Pass</x:v>
      </x:c>
      <x:c r="H15" s="17" t="str">
        <x:v>P0</x:v>
      </x:c>
      <x:c r="I15" s="17" t="str">
        <x:v>Unit/live loop</x:v>
      </x:c>
      <x:c r="J15" s="17" t="str">
        <x:v>Passed 2026-06-22 via relevant automated gates and fake-server/API/browser checks.</x:v>
      </x:c>
      <x:c r="K15" s="18" t="str"/>
    </x:row>
    <x:row r="16">
      <x:c r="A16" s="16" t="str">
        <x:v>ST-015</x:v>
      </x:c>
      <x:c r="B16" s="17" t="str">
        <x:v>SEDA Runtime</x:v>
      </x:c>
      <x:c r="C16" s="17" t="str">
        <x:v>Post-bridge transfer</x:v>
      </x:c>
      <x:c r="D16" s="17" t="str">
        <x:v>As a learner, I must apply the repaired idea after the model bridge.</x:v>
      </x:c>
      <x:c r="E16" s="17" t="str">
        <x:v>post_bridge_transfer_check routes to spacing and remains graph-neutral.</x:v>
      </x:c>
      <x:c r="F16" s="17" t="str">
        <x:v>lib/seda/handlers/post-bridge-transfer.mjs</x:v>
      </x:c>
      <x:c r="G16" s="17" t="str">
        <x:v>Tested Pass</x:v>
      </x:c>
      <x:c r="H16" s="17" t="str">
        <x:v>P0</x:v>
      </x:c>
      <x:c r="I16" s="17" t="str">
        <x:v>Unit/live loop</x:v>
      </x:c>
      <x:c r="J16" s="17" t="str">
        <x:v>Passed 2026-06-22 via relevant automated gates and fake-server/API/browser checks.</x:v>
      </x:c>
      <x:c r="K16" s="18" t="str"/>
    </x:row>
    <x:row r="17">
      <x:c r="A17" s="16" t="str">
        <x:v>ST-016</x:v>
      </x:c>
      <x:c r="B17" s="17" t="str">
        <x:v>SEDA Runtime</x:v>
      </x:c>
      <x:c r="C17" s="17" t="str">
        <x:v>Spacing and spaced redrill</x:v>
      </x:c>
      <x:c r="D17" s="17" t="str">
        <x:v>As a learner, I get a memory check after spacing.</x:v>
      </x:c>
      <x:c r="E17" s="17" t="str">
        <x:v>Spacing creates a pause; spaced_redrill is score-eligible and routes back to idle after derivation/evidence hold logic.</x:v>
      </x:c>
      <x:c r="F17" s="17" t="str">
        <x:v>lib/seda/handlers/spacing.mjs; lib/seda/handlers/spaced-redrill.mjs</x:v>
      </x:c>
      <x:c r="G17" s="17" t="str">
        <x:v>Tested Pass</x:v>
      </x:c>
      <x:c r="H17" s="17" t="str">
        <x:v>P0</x:v>
      </x:c>
      <x:c r="I17" s="17" t="str">
        <x:v>Unit/live loop</x:v>
      </x:c>
      <x:c r="J17" s="17" t="str">
        <x:v>Passed 2026-06-22 via relevant automated gates and fake-server/API/browser checks.</x:v>
      </x:c>
      <x:c r="K17" s="18" t="str"/>
    </x:row>
    <x:row r="18">
      <x:c r="A18" s="16" t="str">
        <x:v>ST-017</x:v>
      </x:c>
      <x:c r="B18" s="17" t="str">
        <x:v>Hosted Loop</x:v>
      </x:c>
      <x:c r="C18" s="17" t="str">
        <x:v>Health endpoint</x:v>
      </x:c>
      <x:c r="D18" s="17" t="str">
        <x:v>As an operator, I can inspect /health.</x:v>
      </x:c>
      <x:c r="E18" s="17" t="str">
        <x:v>/health returns app version, fake/live mode, provider/model, override options, Gemini, and feedback status.</x:v>
      </x:c>
      <x:c r="F18" s="17" t="str">
        <x:v>lib/loop-server/http-server.mjs</x:v>
      </x:c>
      <x:c r="G18" s="17" t="str">
        <x:v>Tested Pass</x:v>
      </x:c>
      <x:c r="H18" s="17" t="str">
        <x:v>P1</x:v>
      </x:c>
      <x:c r="I18" s="17" t="str">
        <x:v>HTTP</x:v>
      </x:c>
      <x:c r="J18" s="17" t="str">
        <x:v>Passed 2026-06-22 via relevant automated gates and fake-server/API/browser checks.</x:v>
      </x:c>
      <x:c r="K18" s="18" t="str"/>
    </x:row>
    <x:row r="19">
      <x:c r="A19" s="16" t="str">
        <x:v>ST-018</x:v>
      </x:c>
      <x:c r="B19" s="17" t="str">
        <x:v>Hosted Loop</x:v>
      </x:c>
      <x:c r="C19" s="17" t="str">
        <x:v>/loop autostart</x:v>
      </x:c>
      <x:c r="D19" s="17" t="str">
        <x:v>As a learner, opening /loop starts a session automatically.</x:v>
      </x:c>
      <x:c r="E19" s="17" t="str">
        <x:v>The page fetches /health, initializes model picker, POSTs /api/session, renders transcript, phase, and session tag.</x:v>
      </x:c>
      <x:c r="F19" s="17" t="str">
        <x:v>public/loop/loop.js; lib/loop-server/http-server.mjs</x:v>
      </x:c>
      <x:c r="G19" s="17" t="str">
        <x:v>Retested Pass</x:v>
      </x:c>
      <x:c r="H19" s="17" t="str">
        <x:v>P0</x:v>
      </x:c>
      <x:c r="I19" s="17" t="str">
        <x:v>Browser/server</x:v>
      </x:c>
      <x:c r="J19" s="17" t="str">
        <x:v>Live browser retest passed after idle placeholder fix.</x:v>
      </x:c>
      <x:c r="K19" s="18" t="str">
        <x:v>Fixed UX mismatch: idle transcript asked Pick a concept while composer placeholder said Type your answer. public/loop/loop.js now shows Pick a concept.</x:v>
      </x:c>
    </x:row>
    <x:row r="20">
      <x:c r="A20" s="16" t="str">
        <x:v>ST-019</x:v>
      </x:c>
      <x:c r="B20" s="17" t="str">
        <x:v>Hosted Loop</x:v>
      </x:c>
      <x:c r="C20" s="17" t="str">
        <x:v>Submit answer</x:v>
      </x:c>
      <x:c r="D20" s="17" t="str">
        <x:v>As a learner, I can submit an answer with Return.</x:v>
      </x:c>
      <x:c r="E20" s="17" t="str">
        <x:v>Submit POSTs /api/session/:id/turn, appends user text, renders transcript and next awaiting prompt.</x:v>
      </x:c>
      <x:c r="F20" s="17" t="str">
        <x:v>public/loop/loop.js</x:v>
      </x:c>
      <x:c r="G20" s="17" t="str">
        <x:v>Tested Pass</x:v>
      </x:c>
      <x:c r="H20" s="17" t="str">
        <x:v>P0</x:v>
      </x:c>
      <x:c r="I20" s="17" t="str">
        <x:v>Browser/server</x:v>
      </x:c>
      <x:c r="J20" s="17" t="str">
        <x:v>Passed 2026-06-22 via relevant automated gates and fake-server/API/browser checks.</x:v>
      </x:c>
      <x:c r="K20" s="18" t="str"/>
    </x:row>
    <x:row r="21">
      <x:c r="A21" s="16" t="str">
        <x:v>ST-020</x:v>
      </x:c>
      <x:c r="B21" s="17" t="str">
        <x:v>Hosted Loop</x:v>
      </x:c>
      <x:c r="C21" s="17" t="str">
        <x:v>Continue turn</x:v>
      </x:c>
      <x:c r="D21" s="17" t="str">
        <x:v>As a learner, I can press Return on continue prompts.</x:v>
      </x:c>
      <x:c r="E21" s="17" t="str">
        <x:v>Continue sends an empty payload without appending a user line and advances the loop.</x:v>
      </x:c>
      <x:c r="F21" s="17" t="str">
        <x:v>public/loop/loop.js</x:v>
      </x:c>
      <x:c r="G21" s="17" t="str">
        <x:v>Tested Pass</x:v>
      </x:c>
      <x:c r="H21" s="17" t="str">
        <x:v>P0</x:v>
      </x:c>
      <x:c r="I21" s="17" t="str">
        <x:v>Browser/server</x:v>
      </x:c>
      <x:c r="J21" s="17" t="str">
        <x:v>Passed 2026-06-22 via relevant automated gates and fake-server/API/browser checks.</x:v>
      </x:c>
      <x:c r="K21" s="18" t="str"/>
    </x:row>
    <x:row r="22">
      <x:c r="A22" s="16" t="str">
        <x:v>ST-021</x:v>
      </x:c>
      <x:c r="B22" s="17" t="str">
        <x:v>Hosted Loop</x:v>
      </x:c>
      <x:c r="C22" s="17" t="str">
        <x:v>Busy and long-running state</x:v>
      </x:c>
      <x:c r="D22" s="17" t="str">
        <x:v>As a learner, I see when the tutor is thinking.</x:v>
      </x:c>
      <x:c r="E22" s="17" t="str">
        <x:v>Composer disables during requests, aria-busy is set, and after 15s status changes to still thinking.</x:v>
      </x:c>
      <x:c r="F22" s="17" t="str">
        <x:v>public/loop/loop.js</x:v>
      </x:c>
      <x:c r="G22" s="17" t="str">
        <x:v>Tested Pass</x:v>
      </x:c>
      <x:c r="H22" s="17" t="str">
        <x:v>P1</x:v>
      </x:c>
      <x:c r="I22" s="17" t="str">
        <x:v>Browser/server</x:v>
      </x:c>
      <x:c r="J22" s="17" t="str">
        <x:v>Passed 2026-06-22 via relevant automated gates and fake-server/API/browser checks.</x:v>
      </x:c>
      <x:c r="K22" s="18" t="str"/>
    </x:row>
    <x:row r="23">
      <x:c r="A23" s="16" t="str">
        <x:v>ST-022</x:v>
      </x:c>
      <x:c r="B23" s="17" t="str">
        <x:v>Hosted Loop</x:v>
      </x:c>
      <x:c r="C23" s="17" t="str">
        <x:v>Transcript projection</x:v>
      </x:c>
      <x:c r="D23" s="17" t="str">
        <x:v>As a learner, I see clean learner-facing transcript lines.</x:v>
      </x:c>
      <x:c r="E23" s="17" t="str">
        <x:v>Phase tags, help, errors, user lines, duplicate system lines, and learner transcript filtering render distinctly.</x:v>
      </x:c>
      <x:c r="F23" s="17" t="str">
        <x:v>public/loop/loop.js; lib/loop-server/learner-transcript.mjs</x:v>
      </x:c>
      <x:c r="G23" s="17" t="str">
        <x:v>Tested Pass</x:v>
      </x:c>
      <x:c r="H23" s="17" t="str">
        <x:v>P0</x:v>
      </x:c>
      <x:c r="I23" s="17" t="str">
        <x:v>Browser/server</x:v>
      </x:c>
      <x:c r="J23" s="17" t="str">
        <x:v>Passed 2026-06-22 via relevant automated gates and fake-server/API/browser checks.</x:v>
      </x:c>
      <x:c r="K23" s="18" t="str"/>
    </x:row>
    <x:row r="24">
      <x:c r="A24" s="16" t="str">
        <x:v>ST-023</x:v>
      </x:c>
      <x:c r="B24" s="17" t="str">
        <x:v>Hosted Loop</x:v>
      </x:c>
      <x:c r="C24" s="17" t="str">
        <x:v>Model picker</x:v>
      </x:c>
      <x:c r="D24" s="17" t="str">
        <x:v>As a founder, I can switch tutor model when overrides are allowed.</x:v>
      </x:c>
      <x:c r="E24" s="17" t="str">
        <x:v>Picker appears only when health allows override; selected model is persisted and PATCHed to active session.</x:v>
      </x:c>
      <x:c r="F24" s="17" t="str">
        <x:v>public/loop/loop.js; lib/loop-server/llm-options.mjs</x:v>
      </x:c>
      <x:c r="G24" s="17" t="str">
        <x:v>Tested Pass</x:v>
      </x:c>
      <x:c r="H24" s="17" t="str">
        <x:v>P1</x:v>
      </x:c>
      <x:c r="I24" s="17" t="str">
        <x:v>Browser/server</x:v>
      </x:c>
      <x:c r="J24" s="17" t="str">
        <x:v>Passed 2026-06-22 via relevant automated gates and fake-server/API/browser checks.</x:v>
      </x:c>
      <x:c r="K24" s="18" t="str"/>
    </x:row>
    <x:row r="25">
      <x:c r="A25" s="16" t="str">
        <x:v>ST-024</x:v>
      </x:c>
      <x:c r="B25" s="17" t="str">
        <x:v>Hosted Loop</x:v>
      </x:c>
      <x:c r="C25" s="17" t="str">
        <x:v>Session resume/read</x:v>
      </x:c>
      <x:c r="D25" s="17" t="str">
        <x:v>As a browser client, I can retrieve a stored session.</x:v>
      </x:c>
      <x:c r="E25" s="17" t="str">
        <x:v>GET /api/session/:id reloads events, metadata, phase, awaiting, and transcript tail or returns 409 for impossible resume.</x:v>
      </x:c>
      <x:c r="F25" s="17" t="str">
        <x:v>lib/loop-server/http-server.mjs; lib/loop-server/session-store.mjs</x:v>
      </x:c>
      <x:c r="G25" s="17" t="str">
        <x:v>Tested Pass</x:v>
      </x:c>
      <x:c r="H25" s="17" t="str">
        <x:v>P1</x:v>
      </x:c>
      <x:c r="I25" s="17" t="str">
        <x:v>HTTP/unit</x:v>
      </x:c>
      <x:c r="J25" s="17" t="str">
        <x:v>Passed 2026-06-22 via relevant automated gates and fake-server/API/browser checks.</x:v>
      </x:c>
      <x:c r="K25" s="18" t="str"/>
    </x:row>
    <x:row r="26">
      <x:c r="A26" s="16" t="str">
        <x:v>ST-025</x:v>
      </x:c>
      <x:c r="B26" s="17" t="str">
        <x:v>Dashboard</x:v>
      </x:c>
      <x:c r="C26" s="17" t="str">
        <x:v>Read-only dashboard page</x:v>
      </x:c>
      <x:c r="D26" s="17" t="str">
        <x:v>As a founder, I can open /dashboard and see learning-loop metrics.</x:v>
      </x:c>
      <x:c r="E26" s="17" t="str">
        <x:v>The page loads /api/dashboard and renders pipeline, friction, product metrics, recommendations, dogfood evidence, and run cards.</x:v>
      </x:c>
      <x:c r="F26" s="17" t="str">
        <x:v>public/dashboard/dashboard.js; lib/observability/dashboard-metrics.mjs</x:v>
      </x:c>
      <x:c r="G26" s="17" t="str">
        <x:v>Tested Pass</x:v>
      </x:c>
      <x:c r="H26" s="17" t="str">
        <x:v>P1</x:v>
      </x:c>
      <x:c r="I26" s="17" t="str">
        <x:v>Browser/HTTP</x:v>
      </x:c>
      <x:c r="J26" s="17" t="str">
        <x:v>Passed 2026-06-22 via relevant automated gates and fake-server/API/browser checks.</x:v>
      </x:c>
      <x:c r="K26" s="18" t="str"/>
    </x:row>
    <x:row r="27">
      <x:c r="A27" s="16" t="str">
        <x:v>ST-026</x:v>
      </x:c>
      <x:c r="B27" s="17" t="str">
        <x:v>Dashboard</x:v>
      </x:c>
      <x:c r="C27" s="17" t="str">
        <x:v>Dashboard error state</x:v>
      </x:c>
      <x:c r="D27" s="17" t="str">
        <x:v>As a founder, I see a useful error when dashboard data cannot load.</x:v>
      </x:c>
      <x:c r="E27" s="17" t="str">
        <x:v>Non-OK /api/dashboard responses show an error state instead of blank UI.</x:v>
      </x:c>
      <x:c r="F27" s="17" t="str">
        <x:v>public/dashboard/dashboard.js</x:v>
      </x:c>
      <x:c r="G27" s="17" t="str">
        <x:v>Tested Pass</x:v>
      </x:c>
      <x:c r="H27" s="17" t="str">
        <x:v>P2</x:v>
      </x:c>
      <x:c r="I27" s="17" t="str">
        <x:v>Browser/HTTP</x:v>
      </x:c>
      <x:c r="J27" s="17" t="str">
        <x:v>Passed 2026-06-22 via relevant automated gates and fake-server/API/browser checks.</x:v>
      </x:c>
      <x:c r="K27" s="18" t="str"/>
    </x:row>
    <x:row r="28">
      <x:c r="A28" s="16" t="str">
        <x:v>ST-027</x:v>
      </x:c>
      <x:c r="B28" s="17" t="str">
        <x:v>Dashboard</x:v>
      </x:c>
      <x:c r="C28" s="17" t="str">
        <x:v>Report clearing API</x:v>
      </x:c>
      <x:c r="D28" s="17" t="str">
        <x:v>As an operator, I can clear dashboard reports when the store supports it.</x:v>
      </x:c>
      <x:c r="E28" s="17" t="str">
        <x:v>DELETE /api/dashboard/reports calls clearReports or returns 501.</x:v>
      </x:c>
      <x:c r="F28" s="17" t="str">
        <x:v>lib/loop-server/http-server.mjs</x:v>
      </x:c>
      <x:c r="G28" s="17" t="str">
        <x:v>Tested Pass</x:v>
      </x:c>
      <x:c r="H28" s="17" t="str">
        <x:v>P3</x:v>
      </x:c>
      <x:c r="I28" s="17" t="str">
        <x:v>HTTP</x:v>
      </x:c>
      <x:c r="J28" s="17" t="str">
        <x:v>Passed 2026-06-22 via relevant automated gates and fake-server/API/browser checks.</x:v>
      </x:c>
      <x:c r="K28" s="18" t="str"/>
    </x:row>
    <x:row r="29">
      <x:c r="A29" s="16" t="str">
        <x:v>ST-028</x:v>
      </x:c>
      <x:c r="B29" s="17" t="str">
        <x:v>Founder Lab</x:v>
      </x:c>
      <x:c r="C29" s="17" t="str">
        <x:v>Lab access gate</x:v>
      </x:c>
      <x:c r="D29" s="17" t="str">
        <x:v>As an operator, I can expose /lab only when enabled and localhost-safe.</x:v>
      </x:c>
      <x:c r="E29" s="17" t="str">
        <x:v>/lab 404s when disabled, 403s when enabled but disallowed, and /api/lab requires auth after gate.</x:v>
      </x:c>
      <x:c r="F29" s="17" t="str">
        <x:v>lib/lab/lab-access.mjs; lib/loop-server/http-server.mjs</x:v>
      </x:c>
      <x:c r="G29" s="17" t="str">
        <x:v>Tested Pass</x:v>
      </x:c>
      <x:c r="H29" s="17" t="str">
        <x:v>P0</x:v>
      </x:c>
      <x:c r="I29" s="17" t="str">
        <x:v>HTTP</x:v>
      </x:c>
      <x:c r="J29" s="17" t="str">
        <x:v>Passed 2026-06-22 via relevant automated gates and fake-server/API/browser checks.</x:v>
      </x:c>
      <x:c r="K29" s="18" t="str"/>
    </x:row>
    <x:row r="30">
      <x:c r="A30" s="16" t="str">
        <x:v>ST-029</x:v>
      </x:c>
      <x:c r="B30" s="17" t="str">
        <x:v>Founder Lab</x:v>
      </x:c>
      <x:c r="C30" s="17" t="str">
        <x:v>Status and cartridges</x:v>
      </x:c>
      <x:c r="D30" s="17" t="str">
        <x:v>As a founder, I can see loop/model status and choose a cartridge.</x:v>
      </x:c>
      <x:c r="E30" s="17" t="str">
        <x:v>Lab loads status, endpoint setup, student probes, cartridges, and scenario preview.</x:v>
      </x:c>
      <x:c r="F30" s="17" t="str">
        <x:v>public/lab/lab.js; lib/lab/lab-api.mjs</x:v>
      </x:c>
      <x:c r="G30" s="17" t="str">
        <x:v>Tested Pass</x:v>
      </x:c>
      <x:c r="H30" s="17" t="str">
        <x:v>P1</x:v>
      </x:c>
      <x:c r="I30" s="17" t="str">
        <x:v>Browser/HTTP</x:v>
      </x:c>
      <x:c r="J30" s="17" t="str">
        <x:v>Passed 2026-06-22 via relevant automated gates and fake-server/API/browser checks.</x:v>
      </x:c>
      <x:c r="K30" s="18" t="str"/>
    </x:row>
    <x:row r="31">
      <x:c r="A31" s="16" t="str">
        <x:v>ST-030</x:v>
      </x:c>
      <x:c r="B31" s="17" t="str">
        <x:v>Founder Lab</x:v>
      </x:c>
      <x:c r="C31" s="17" t="str">
        <x:v>Model probe</x:v>
      </x:c>
      <x:c r="D31" s="17" t="str">
        <x:v>As a founder, I can test tutor and student endpoints.</x:v>
      </x:c>
      <x:c r="E31" s="17" t="str">
        <x:v>Test buttons POST provider/model to /api/lab/model-test and show ok/failed with latency/message.</x:v>
      </x:c>
      <x:c r="F31" s="17" t="str">
        <x:v>public/lab/lab.js; lib/lab/lab-api.mjs</x:v>
      </x:c>
      <x:c r="G31" s="17" t="str">
        <x:v>Tested Pass</x:v>
      </x:c>
      <x:c r="H31" s="17" t="str">
        <x:v>P1</x:v>
      </x:c>
      <x:c r="I31" s="17" t="str">
        <x:v>Browser/HTTP</x:v>
      </x:c>
      <x:c r="J31" s="17" t="str">
        <x:v>Passed 2026-06-22 via relevant automated gates and fake-server/API/browser checks.</x:v>
      </x:c>
      <x:c r="K31" s="18" t="str"/>
    </x:row>
    <x:row r="32">
      <x:c r="A32" s="16" t="str">
        <x:v>ST-031</x:v>
      </x:c>
      <x:c r="B32" s="17" t="str">
        <x:v>Founder Lab</x:v>
      </x:c>
      <x:c r="C32" s="17" t="str">
        <x:v>Batch setup validation</x:v>
      </x:c>
      <x:c r="D32" s="17" t="str">
        <x:v>As a founder, I cannot start a malformed batch.</x:v>
      </x:c>
      <x:c r="E32" s="17" t="str">
        <x:v>Concept and goal are required; LM Studio/router choices require model ids; validation errors show in the banner.</x:v>
      </x:c>
      <x:c r="F32" s="17" t="str">
        <x:v>public/lab/lab.js</x:v>
      </x:c>
      <x:c r="G32" s="17" t="str">
        <x:v>Tested Pass</x:v>
      </x:c>
      <x:c r="H32" s="17" t="str">
        <x:v>P1</x:v>
      </x:c>
      <x:c r="I32" s="17" t="str">
        <x:v>Browser</x:v>
      </x:c>
      <x:c r="J32" s="17" t="str">
        <x:v>Passed 2026-06-22 via relevant automated gates and fake-server/API/browser checks.</x:v>
      </x:c>
      <x:c r="K32" s="18" t="str"/>
    </x:row>
    <x:row r="33">
      <x:c r="A33" s="16" t="str">
        <x:v>ST-032</x:v>
      </x:c>
      <x:c r="B33" s="17" t="str">
        <x:v>Founder Lab</x:v>
      </x:c>
      <x:c r="C33" s="17" t="str">
        <x:v>Start and poll batch</x:v>
      </x:c>
      <x:c r="D33" s="17" t="str">
        <x:v>As a founder, I can run a closed-loop batch.</x:v>
      </x:c>
      <x:c r="E33" s="17" t="str">
        <x:v>Run batch POSTs /api/lab/batches, polls snapshot every second, shows busy state, and tolerates transient server waits.</x:v>
      </x:c>
      <x:c r="F33" s="17" t="str">
        <x:v>public/lab/lab.js; lib/lab/lab-batches.mjs</x:v>
      </x:c>
      <x:c r="G33" s="17" t="str">
        <x:v>Tested Pass</x:v>
      </x:c>
      <x:c r="H33" s="17" t="str">
        <x:v>P0</x:v>
      </x:c>
      <x:c r="I33" s="17" t="str">
        <x:v>Browser/HTTP</x:v>
      </x:c>
      <x:c r="J33" s="17" t="str">
        <x:v>Fake-safe lab batch completed with status=done, one dialogue run, timeline entries, and report path.</x:v>
      </x:c>
      <x:c r="K33" s="18" t="str"/>
    </x:row>
    <x:row r="34">
      <x:c r="A34" s="16" t="str">
        <x:v>ST-033</x:v>
      </x:c>
      <x:c r="B34" s="17" t="str">
        <x:v>Founder Lab</x:v>
      </x:c>
      <x:c r="C34" s="17" t="str">
        <x:v>Live gate observatory</x:v>
      </x:c>
      <x:c r="D34" s="17" t="str">
        <x:v>As a founder, I can watch the latest event move through SEDA gates.</x:v>
      </x:c>
      <x:c r="E34" s="17" t="str">
        <x:v>Gates tab renders decision strip, live state, pipeline, timeline lanes, event inspector, judgment, comparison, and canonical map.</x:v>
      </x:c>
      <x:c r="F34" s="17" t="str">
        <x:v>public/lab/lab.js; lib/lab/canonical-gates.mjs; lib/lab/lab-event-ledger.mjs</x:v>
      </x:c>
      <x:c r="G34" s="17" t="str">
        <x:v>Tested Pass</x:v>
      </x:c>
      <x:c r="H34" s="17" t="str">
        <x:v>P1</x:v>
      </x:c>
      <x:c r="I34" s="17" t="str">
        <x:v>Browser/HTTP</x:v>
      </x:c>
      <x:c r="J34" s="17" t="str">
        <x:v>Passed 2026-06-22 via relevant automated gates and fake-server/API/browser checks.</x:v>
      </x:c>
      <x:c r="K34" s="18" t="str"/>
    </x:row>
    <x:row r="35">
      <x:c r="A35" s="16" t="str">
        <x:v>ST-034</x:v>
      </x:c>
      <x:c r="B35" s="17" t="str">
        <x:v>Founder Lab</x:v>
      </x:c>
      <x:c r="C35" s="17" t="str">
        <x:v>Batch report</x:v>
      </x:c>
      <x:c r="D35" s="17" t="str">
        <x:v>As a founder, I get a report after a batch completes.</x:v>
      </x:c>
      <x:c r="E35" s="17" t="str">
        <x:v>Done snapshots render report summary, axis counts, run table, banner path, refresh run list, and enable reveal.</x:v>
      </x:c>
      <x:c r="F35" s="17" t="str">
        <x:v>public/lab/lab.js; lib/lab/loop-rubric.mjs</x:v>
      </x:c>
      <x:c r="G35" s="17" t="str">
        <x:v>Tested Pass</x:v>
      </x:c>
      <x:c r="H35" s="17" t="str">
        <x:v>P0</x:v>
      </x:c>
      <x:c r="I35" s="17" t="str">
        <x:v>Browser/HTTP</x:v>
      </x:c>
      <x:c r="J35" s="17" t="str">
        <x:v>Fake-safe lab batch completed with status=done, one dialogue run, timeline entries, and report path.</x:v>
      </x:c>
      <x:c r="K35" s="18" t="str"/>
    </x:row>
    <x:row r="36">
      <x:c r="A36" s="16" t="str">
        <x:v>ST-035</x:v>
      </x:c>
      <x:c r="B36" s="17" t="str">
        <x:v>Founder Lab</x:v>
      </x:c>
      <x:c r="C36" s="17" t="str">
        <x:v>Recent runs list</x:v>
      </x:c>
      <x:c r="D36" s="17" t="str">
        <x:v>As a founder, I can review recent lab evidence.</x:v>
      </x:c>
      <x:c r="E36" s="17" t="str">
        <x:v>Runs tab loads /api/lab/runs, sorts by decision, shows evidence/report path, and supports refresh.</x:v>
      </x:c>
      <x:c r="F36" s="17" t="str">
        <x:v>public/lab/lab.js; lib/lab/lab-runs.mjs</x:v>
      </x:c>
      <x:c r="G36" s="17" t="str">
        <x:v>Tested Pass</x:v>
      </x:c>
      <x:c r="H36" s="17" t="str">
        <x:v>P1</x:v>
      </x:c>
      <x:c r="I36" s="17" t="str">
        <x:v>Browser/HTTP</x:v>
      </x:c>
      <x:c r="J36" s="17" t="str">
        <x:v>Passed 2026-06-22 via relevant automated gates and fake-server/API/browser checks.</x:v>
      </x:c>
      <x:c r="K36" s="18" t="str"/>
    </x:row>
    <x:row r="37">
      <x:c r="A37" s="16" t="str">
        <x:v>ST-036</x:v>
      </x:c>
      <x:c r="B37" s="17" t="str">
        <x:v>Founder Lab</x:v>
      </x:c>
      <x:c r="C37" s="17" t="str">
        <x:v>Dialogue reader</x:v>
      </x:c>
      <x:c r="D37" s="17" t="str">
        <x:v>As a founder, I can inspect tutor/student turns from a run.</x:v>
      </x:c>
      <x:c r="E37" s="17" t="str">
        <x:v>Clickable/keyboard rows load /api/lab/runs/:id/dialogue, switch to Dialogue, and render per-run turns.</x:v>
      </x:c>
      <x:c r="F37" s="17" t="str">
        <x:v>public/lab/lab.js; lib/lab/lab-dialogue.mjs</x:v>
      </x:c>
      <x:c r="G37" s="17" t="str">
        <x:v>Tested Pass</x:v>
      </x:c>
      <x:c r="H37" s="17" t="str">
        <x:v>P1</x:v>
      </x:c>
      <x:c r="I37" s="17" t="str">
        <x:v>Browser/HTTP</x:v>
      </x:c>
      <x:c r="J37" s="17" t="str">
        <x:v>Dialogue endpoint returned founder-batch source, 1 run, 6 turns; UI switched to Dialogue.</x:v>
      </x:c>
      <x:c r="K37" s="18" t="str"/>
    </x:row>
    <x:row r="38">
      <x:c r="A38" s="16" t="str">
        <x:v>ST-037</x:v>
      </x:c>
      <x:c r="B38" s="17" t="str">
        <x:v>Founder Lab</x:v>
      </x:c>
      <x:c r="C38" s="17" t="str">
        <x:v>Thurman deliverable</x:v>
      </x:c>
      <x:c r="D38" s="17" t="str">
        <x:v>As a founder, I can get a bounded Thurman prompt when evidence calls for it.</x:v>
      </x:c>
      <x:c r="E38" s="17" t="str">
        <x:v>Workbench derives no patch, compare, or patch-candidate prompt from selected founder evidence and supports clipboard copy.</x:v>
      </x:c>
      <x:c r="F38" s="17" t="str">
        <x:v>public/lab/lab.js</x:v>
      </x:c>
      <x:c r="G38" s="17" t="str">
        <x:v>Tested Pass</x:v>
      </x:c>
      <x:c r="H38" s="17" t="str">
        <x:v>P2</x:v>
      </x:c>
      <x:c r="I38" s="17" t="str">
        <x:v>Browser</x:v>
      </x:c>
      <x:c r="J38" s="17" t="str">
        <x:v>Rejected fake batch selected in UI; Thurman workbench correctly chose Rerun live tutor and exposed no patch prompt.</x:v>
      </x:c>
      <x:c r="K38" s="18" t="str"/>
    </x:row>
    <x:row r="39">
      <x:c r="A39" s="16" t="str">
        <x:v>ST-038</x:v>
      </x:c>
      <x:c r="B39" s="17" t="str">
        <x:v>Founder Lab</x:v>
      </x:c>
      <x:c r="C39" s="17" t="str">
        <x:v>Reveal report folder</x:v>
      </x:c>
      <x:c r="D39" s="17" t="str">
        <x:v>As a founder, I can open a completed run or batch folder.</x:v>
      </x:c>
      <x:c r="E39" s="17" t="str">
        <x:v>Reveal endpoints return 409 until folders exist, otherwise ask the OS to open outDir/batchDir and report errors.</x:v>
      </x:c>
      <x:c r="F39" s="17" t="str">
        <x:v>public/lab/lab.js; lib/lab/lab-reveal.mjs; lib/lab/lab-api.mjs</x:v>
      </x:c>
      <x:c r="G39" s="17" t="str">
        <x:v>Tested Pass</x:v>
      </x:c>
      <x:c r="H39" s="17" t="str">
        <x:v>P2</x:v>
      </x:c>
      <x:c r="I39" s="17" t="str">
        <x:v>Browser/HTTP</x:v>
      </x:c>
      <x:c r="J39" s="17" t="str">
        <x:v>Reveal endpoint returned completed batchDir.</x:v>
      </x:c>
      <x:c r="K39" s="18" t="str"/>
    </x:row>
    <x:row r="40">
      <x:c r="A40" s="16" t="str">
        <x:v>ST-039</x:v>
      </x:c>
      <x:c r="B40" s="17" t="str">
        <x:v>Bridge</x:v>
      </x:c>
      <x:c r="C40" s="17" t="str">
        <x:v>Bridge action registry</x:v>
      </x:c>
      <x:c r="D40" s="17" t="str">
        <x:v>As a maintainer, I can audit bridge actions and routing contracts.</x:v>
      </x:c>
      <x:c r="E40" s="17" t="str">
        <x:v>Registry actions match bridge.py, prompt template pins, schemas, emitted events, and routing documentation.</x:v>
      </x:c>
      <x:c r="F40" s="17" t="str">
        <x:v>lib/bridge/registry.json; bridge.py; prompt_templates.py</x:v>
      </x:c>
      <x:c r="G40" s="17" t="str">
        <x:v>Tested Pass</x:v>
      </x:c>
      <x:c r="H40" s="17" t="str">
        <x:v>P1</x:v>
      </x:c>
      <x:c r="I40" s="17" t="str">
        <x:v>Unit</x:v>
      </x:c>
      <x:c r="J40" s="17" t="str">
        <x:v>Passed 2026-06-22 via relevant automated gates and fake-server/API/browser checks.</x:v>
      </x:c>
      <x:c r="K40" s="18" t="str"/>
    </x:row>
    <x:row r="41">
      <x:c r="A41" s="16" t="str">
        <x:v>ST-040</x:v>
      </x:c>
      <x:c r="B41" s="17" t="str">
        <x:v>Bridge</x:v>
      </x:c>
      <x:c r="C41" s="17" t="str">
        <x:v>Fail-closed bridge errors</x:v>
      </x:c>
      <x:c r="D41" s="17" t="str">
        <x:v>As a maintainer, malformed or hung bridge calls cannot create false evidence.</x:v>
      </x:c>
      <x:c r="E41" s="17" t="str">
        <x:v>Invalid JSON, nonzero exits, timeouts, route retry exhaustion, and malformed evaluator outputs fail closed.</x:v>
      </x:c>
      <x:c r="F41" s="17" t="str">
        <x:v>lib/bridge/client.mjs; lib/seda/bridge-fail-closed.mjs</x:v>
      </x:c>
      <x:c r="G41" s="17" t="str">
        <x:v>Tested Pass</x:v>
      </x:c>
      <x:c r="H41" s="17" t="str">
        <x:v>P0</x:v>
      </x:c>
      <x:c r="I41" s="17" t="str">
        <x:v>Unit</x:v>
      </x:c>
      <x:c r="J41" s="17" t="str">
        <x:v>Passed 2026-06-22 via relevant automated gates and fake-server/API/browser checks.</x:v>
      </x:c>
      <x:c r="K41" s="18" t="str"/>
    </x:row>
    <x:row r="42">
      <x:c r="A42" s="16" t="str">
        <x:v>ST-041</x:v>
      </x:c>
      <x:c r="B42" s="17" t="str">
        <x:v>Observability CLI</x:v>
      </x:c>
      <x:c r="C42" s="17" t="str">
        <x:v>Harness replay</x:v>
      </x:c>
      <x:c r="D42" s="17" t="str">
        <x:v>As a maintainer, I can replay promoted cases.</x:v>
      </x:c>
      <x:c r="E42" s="17" t="str">
        <x:v>./socratink-harness replay asserts expected invariants over learning_cases sessions.</x:v>
      </x:c>
      <x:c r="F42" s="17" t="str">
        <x:v>socratink-harness; harness/replay.mjs</x:v>
      </x:c>
      <x:c r="G42" s="17" t="str">
        <x:v>Tested Pass</x:v>
      </x:c>
      <x:c r="H42" s="17" t="str">
        <x:v>P1</x:v>
      </x:c>
      <x:c r="I42" s="17" t="str">
        <x:v>CLI</x:v>
      </x:c>
      <x:c r="J42" s="17" t="str">
        <x:v>Passed 2026-06-22 via relevant automated gates and fake-server/API/browser checks.</x:v>
      </x:c>
      <x:c r="K42" s="18" t="str"/>
    </x:row>
    <x:row r="43">
      <x:c r="A43" s="16" t="str">
        <x:v>ST-042</x:v>
      </x:c>
      <x:c r="B43" s="17" t="str">
        <x:v>Observability CLI</x:v>
      </x:c>
      <x:c r="C43" s="17" t="str">
        <x:v>Routing proof</x:v>
      </x:c>
      <x:c r="D43" s="17" t="str">
        <x:v>As a maintainer, I can verify nextPhase routes promoted traces.</x:v>
      </x:c>
      <x:c r="E43" s="17" t="str">
        <x:v>./socratink-harness routing-proof verifies event logs against routing chain expectations.</x:v>
      </x:c>
      <x:c r="F43" s="17" t="str">
        <x:v>socratink-harness; harness/replay.mjs</x:v>
      </x:c>
      <x:c r="G43" s="17" t="str">
        <x:v>Tested Pass</x:v>
      </x:c>
      <x:c r="H43" s="17" t="str">
        <x:v>P1</x:v>
      </x:c>
      <x:c r="I43" s="17" t="str">
        <x:v>CLI</x:v>
      </x:c>
      <x:c r="J43" s="17" t="str">
        <x:v>Passed 2026-06-22 via relevant automated gates and fake-server/API/browser checks.</x:v>
      </x:c>
      <x:c r="K43" s="18" t="str"/>
    </x:row>
    <x:row r="44">
      <x:c r="A44" s="16" t="str">
        <x:v>ST-043</x:v>
      </x:c>
      <x:c r="B44" s="17" t="str">
        <x:v>Observability CLI</x:v>
      </x:c>
      <x:c r="C44" s="17" t="str">
        <x:v>Dashboard CLI</x:v>
      </x:c>
      <x:c r="D44" s="17" t="str">
        <x:v>As a founder, I can print dashboard summaries from promoted cases.</x:v>
      </x:c>
      <x:c r="E44" s="17" t="str">
        <x:v>./socratink-dashboard prints human summary or JSON payload from learning_cases/cases.jsonl.</x:v>
      </x:c>
      <x:c r="F44" s="17" t="str">
        <x:v>socratink-dashboard; harness/dashboard.mjs</x:v>
      </x:c>
      <x:c r="G44" s="17" t="str">
        <x:v>Tested Pass</x:v>
      </x:c>
      <x:c r="H44" s="17" t="str">
        <x:v>P2</x:v>
      </x:c>
      <x:c r="I44" s="17" t="str">
        <x:v>CLI</x:v>
      </x:c>
      <x:c r="J44" s="17" t="str">
        <x:v>Passed 2026-06-22 via relevant automated gates and fake-server/API/browser checks.</x:v>
      </x:c>
      <x:c r="K44" s="18" t="str"/>
    </x:row>
    <x:row r="45">
      <x:c r="A45" s="16" t="str">
        <x:v>ST-044</x:v>
      </x:c>
      <x:c r="B45" s="17" t="str">
        <x:v>Persona Lab CLI</x:v>
      </x:c>
      <x:c r="C45" s="17" t="str">
        <x:v>Live persona runner</x:v>
      </x:c>
      <x:c r="D45" s="17" t="str">
        <x:v>As a founder, I can run a simulated learner through the loop.</x:v>
      </x:c>
      <x:c r="E45" s="17" t="str">
        <x:v>./socratink-persona-lab loads .env and executes scripts/loop-persona-live.mjs.</x:v>
      </x:c>
      <x:c r="F45" s="17" t="str">
        <x:v>socratink-persona-lab; scripts/loop-persona-live.mjs</x:v>
      </x:c>
      <x:c r="G45" s="17" t="str">
        <x:v>Tested Pass</x:v>
      </x:c>
      <x:c r="H45" s="17" t="str">
        <x:v>P1</x:v>
      </x:c>
      <x:c r="I45" s="17" t="str">
        <x:v>CLI/live</x:v>
      </x:c>
      <x:c r="J45" s="17" t="str">
        <x:v>Passed 2026-06-22 via relevant automated gates and fake-server/API/browser checks.</x:v>
      </x:c>
      <x:c r="K45" s="18" t="str"/>
    </x:row>
    <x:row r="46">
      <x:c r="A46" s="16" t="str">
        <x:v>ST-045</x:v>
      </x:c>
      <x:c r="B46" s="17" t="str">
        <x:v>Agent Git</x:v>
      </x:c>
      <x:c r="C46" s="17" t="str">
        <x:v>Agent git doctor/status</x:v>
      </x:c>
      <x:c r="D46" s="17" t="str">
        <x:v>As an agent, I can inspect repo/PR/check prerequisites safely.</x:v>
      </x:c>
      <x:c r="E46" s="17" t="str">
        <x:v>doctor and status show repo, branch, base, dirty state, PR, and checks with optional JSON.</x:v>
      </x:c>
      <x:c r="F46" s="17" t="str">
        <x:v>bin/agent-git; lib/agent-git/core.mjs</x:v>
      </x:c>
      <x:c r="G46" s="17" t="str">
        <x:v>Tested Pass</x:v>
      </x:c>
      <x:c r="H46" s="17" t="str">
        <x:v>P1</x:v>
      </x:c>
      <x:c r="I46" s="17" t="str">
        <x:v>CLI</x:v>
      </x:c>
      <x:c r="J46" s="17" t="str">
        <x:v>agent-git status and doctor passed; doctor reported only environment/tooling warnings.</x:v>
      </x:c>
      <x:c r="K46" s="18" t="str"/>
    </x:row>
    <x:row r="47">
      <x:c r="A47" s="16" t="str">
        <x:v>ST-046</x:v>
      </x:c>
      <x:c r="B47" s="17" t="str">
        <x:v>Agent Git</x:v>
      </x:c>
      <x:c r="C47" s="17" t="str">
        <x:v>Agent git cleanup dry-run</x:v>
      </x:c>
      <x:c r="D47" s="17" t="str">
        <x:v>As an agent, I can classify branches without deleting anything.</x:v>
      </x:c>
      <x:c r="E47" s="17" t="str">
        <x:v>cleanup requires --dry-run, prints actions/reasons, and performs no destructive changes.</x:v>
      </x:c>
      <x:c r="F47" s="17" t="str">
        <x:v>bin/agent-git; lib/agent-git/core.mjs</x:v>
      </x:c>
      <x:c r="G47" s="17" t="str">
        <x:v>Tested Pass</x:v>
      </x:c>
      <x:c r="H47" s="17" t="str">
        <x:v>P2</x:v>
      </x:c>
      <x:c r="I47" s="17" t="str">
        <x:v>CLI/unit</x:v>
      </x:c>
      <x:c r="J47" s="17" t="str">
        <x:v>Passed 2026-06-22 via relevant automated gates and fake-server/API/browser checks.</x:v>
      </x:c>
      <x:c r="K47" s="18" t="str"/>
    </x:row>
    <x:row r="48">
      <x:c r="A48" s="16" t="str">
        <x:v>ST-047</x:v>
      </x:c>
      <x:c r="B48" s="17" t="str">
        <x:v>Agent Git</x:v>
      </x:c>
      <x:c r="C48" s="17" t="str">
        <x:v>Agent git rescue</x:v>
      </x:c>
      <x:c r="D48" s="17" t="str">
        <x:v>As an agent, I can preserve dirty work before risky cleanup.</x:v>
      </x:c>
      <x:c r="E48" s="17" t="str">
        <x:v>rescue saves patches/stash metadata and prints restore instructions.</x:v>
      </x:c>
      <x:c r="F48" s="17" t="str">
        <x:v>bin/agent-git; lib/agent-git/core.mjs</x:v>
      </x:c>
      <x:c r="G48" s="17" t="str">
        <x:v>Tested Pass</x:v>
      </x:c>
      <x:c r="H48" s="17" t="str">
        <x:v>P1</x:v>
      </x:c>
      <x:c r="I48" s="17" t="str">
        <x:v>CLI/unit</x:v>
      </x:c>
      <x:c r="J48" s="17" t="str">
        <x:v>Rescue behavior covered by unit tests; not manually run because working tree had no dirty work to preserve.</x:v>
      </x:c>
      <x:c r="K48" s="18" t="str"/>
    </x:row>
    <x:row r="49">
      <x:c r="A49" s="19" t="str">
        <x:v>ST-048</x:v>
      </x:c>
      <x:c r="B49" s="20" t="str">
        <x:v>Versioning</x:v>
      </x:c>
      <x:c r="C49" s="20" t="str">
        <x:v>Loop version sync</x:v>
      </x:c>
      <x:c r="D49" s="20" t="str">
        <x:v>As a releaser, I can bump/check loop version files.</x:v>
      </x:c>
      <x:c r="E49" s="20" t="str">
        <x:v>npm run bump:loop syncs loop version; version:check fails when version files drift.</x:v>
      </x:c>
      <x:c r="F49" s="20" t="str">
        <x:v>scripts/bump-loop-version.mjs; lib/loop-server/version.mjs</x:v>
      </x:c>
      <x:c r="G49" s="20" t="str">
        <x:v>Tested Pass</x:v>
      </x:c>
      <x:c r="H49" s="20" t="str">
        <x:v>P2</x:v>
      </x:c>
      <x:c r="I49" s="20" t="str">
        <x:v>CLI/unit</x:v>
      </x:c>
      <x:c r="J49" s="20" t="str">
        <x:v>Passed 2026-06-22 via relevant automated gates and fake-server/API/browser checks.</x:v>
      </x:c>
      <x:c r="K49" s="21" t="str"/>
    </x:row>
  </x:sheetData>
  <x:dataValidations count="2">
    <x:dataValidation type="list" sqref="G2:G49">
      <x:formula1>"Code Mapped,Tested Pass,Tested Fail,Fixed,Retested Pass,Blocked"</x:formula1>
    </x:dataValidation>
    <x:dataValidation type="list" sqref="H2:H49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9f0e6529ac4387"/>
  </x:tableParts>
</x:worksheet>
</file>